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71ee3394f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ey Snapshot" sheetId="1" r:id="R0c728094091b431a"/>
    <x:sheet xmlns:r="http://schemas.openxmlformats.org/officeDocument/2006/relationships" name="Monthly Plan" sheetId="2" r:id="R54089e631021472f"/>
    <x:sheet xmlns:r="http://schemas.openxmlformats.org/officeDocument/2006/relationships" name="Buffer Target" sheetId="3" r:id="Re1f46dac31bd44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;[Red]($#,##0);-"/>
    <x:numFmt numFmtId="201" formatCode="0.0%"/>
  </x:numFmts>
  <x:fonts count="7">
    <x:font>
      <x:sz val="11"/>
      <x:name val="Carlito"/>
    </x:font>
    <x:font>
      <x:b/>
      <x:sz val="18"/>
      <x:color rgb="FFF4EFE2"/>
      <x:name val="Carlito"/>
    </x:font>
    <x:font>
      <x:i/>
      <x:sz val="10"/>
      <x:color rgb="FFA8A297"/>
      <x:name val="Carlito"/>
    </x:font>
    <x:font>
      <x:b/>
      <x:sz val="10"/>
      <x:color rgb="FF101013"/>
      <x:name val="Carlito"/>
    </x:font>
    <x:font>
      <x:b/>
      <x:sz val="10"/>
      <x:color rgb="FFF4EFE2"/>
      <x:name val="Carlito"/>
    </x:font>
    <x:font>
      <x:sz val="11"/>
      <x:color rgb="FF1B1A1D"/>
      <x:name val="Carlito"/>
    </x:font>
    <x:font>
      <x:b/>
      <x:sz val="11"/>
      <x:color rgb="FF1B1A1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1013"/>
      </x:patternFill>
    </x:fill>
    <x:fill>
      <x:patternFill patternType="solid">
        <x:fgColor rgb="FF17171B"/>
      </x:patternFill>
    </x:fill>
    <x:fill>
      <x:patternFill patternType="solid">
        <x:fgColor rgb="FFB99A55"/>
      </x:patternFill>
    </x:fill>
    <x:fill>
      <x:patternFill patternType="solid">
        <x:fgColor rgb="FFFFF8E7"/>
      </x:patternFill>
    </x:fill>
    <x:fill>
      <x:patternFill patternType="solid">
        <x:fgColor rgb="FFDCEFD6"/>
      </x:patternFill>
    </x:fill>
    <x:fill>
      <x:patternFill patternType="solid">
        <x:fgColor rgb="FFD4B66A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6" fillId="6" borderId="0" xfId="0" applyNumberFormat="1" applyFont="1" applyFill="1" applyBorder="1"/>
    <x:xf numFmtId="200" fontId="6" fillId="6" borderId="0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0" fontId="6" fillId="7" borderId="0" xfId="0" applyNumberFormat="1" applyFont="1" applyFill="1" applyBorder="1"/>
    <x:xf numFmtId="200" fontId="6" fillId="7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/>
    <x:xf numFmtId="201" fontId="0" fillId="6" borderId="0" xfId="0" applyNumberFormat="1" applyFont="1" applyFill="1" applyBorder="1"/>
    <x:xf numFmtId="201" fontId="6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e6674074504459" /><Relationship Type="http://schemas.openxmlformats.org/officeDocument/2006/relationships/theme" Target="/xl/theme/theme1.xml" Id="R7a765c02e7f84645" /><Relationship Type="http://schemas.openxmlformats.org/officeDocument/2006/relationships/sharedStrings" Target="/xl/sharedStrings.xml" Id="R872e11203fd24476" /><Relationship Type="http://schemas.openxmlformats.org/officeDocument/2006/relationships/worksheet" Target="/xl/worksheets/sheet1.xml" Id="R0c728094091b431a" /><Relationship Type="http://schemas.openxmlformats.org/officeDocument/2006/relationships/worksheet" Target="/xl/worksheets/sheet2.xml" Id="R54089e631021472f" /><Relationship Type="http://schemas.openxmlformats.org/officeDocument/2006/relationships/worksheet" Target="/xl/worksheets/sheet3.xml" Id="Re1f46dac31bd44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22" hidden="0" customWidth="1"/>
  </x:cols>
  <x:sheetData>
    <x:row r="1" ht="32" customHeight="1">
      <x:c r="A1" s="4" t="str">
        <x:v>Surplus Money System Planner</x:v>
      </x:c>
    </x:row>
    <x:row r="2" ht="22" customHeight="1">
      <x:c r="A2" s="7" t="str">
        <x:v>Start with the real number. Cream cells are yours to edit.</x:v>
      </x:c>
    </x:row>
    <x:row r="4" ht="20" customHeight="1">
      <x:c r="A4" s="10" t="str">
        <x:v>MONTHLY INCOME</x:v>
      </x:c>
    </x:row>
    <x:row r="5">
      <x:c r="A5" s="13" t="str">
        <x:v>Income source</x:v>
      </x:c>
      <x:c r="B5" s="13" t="str">
        <x:v>Monthly amount</x:v>
      </x:c>
      <x:c r="C5" s="13" t="str">
        <x:v>Notes</x:v>
      </x:c>
    </x:row>
    <x:row r="6">
      <x:c r="A6" t="str">
        <x:v>Monthly take-home income</x:v>
      </x:c>
      <x:c r="B6" s="16" t="n">
        <x:v>0</x:v>
      </x:c>
      <x:c r="C6" s="28" t="str">
        <x:v>Use income after taxes</x:v>
      </x:c>
    </x:row>
    <x:row r="7">
      <x:c r="C7" s="28"/>
    </x:row>
    <x:row r="8" ht="20" customHeight="1">
      <x:c r="A8" s="10" t="str">
        <x:v>MONTHLY OUTFLOW</x:v>
      </x:c>
      <x:c r="C8" s="28"/>
    </x:row>
    <x:row r="9">
      <x:c r="A9" s="13" t="str">
        <x:v>Category</x:v>
      </x:c>
      <x:c r="B9" s="13" t="str">
        <x:v>Monthly amount</x:v>
      </x:c>
      <x:c r="C9" s="29" t="str">
        <x:v>What belongs here</x:v>
      </x:c>
    </x:row>
    <x:row r="10">
      <x:c r="A10" t="str">
        <x:v>Fixed housing</x:v>
      </x:c>
      <x:c r="B10" s="16" t="n">
        <x:v>0</x:v>
      </x:c>
      <x:c r="C10" s="28" t="str">
        <x:v>Rent or mortgage</x:v>
      </x:c>
    </x:row>
    <x:row r="11">
      <x:c r="A11" t="str">
        <x:v>Utilities</x:v>
      </x:c>
      <x:c r="B11" s="16" t="n">
        <x:v>0</x:v>
      </x:c>
      <x:c r="C11" s="28" t="str">
        <x:v>Power, water, internet, phone</x:v>
      </x:c>
    </x:row>
    <x:row r="12">
      <x:c r="A12" t="str">
        <x:v>Transportation</x:v>
      </x:c>
      <x:c r="B12" s="16" t="n">
        <x:v>0</x:v>
      </x:c>
      <x:c r="C12" s="28" t="str">
        <x:v>Fuel, transit, maintenance</x:v>
      </x:c>
    </x:row>
    <x:row r="13">
      <x:c r="A13" t="str">
        <x:v>Insurance</x:v>
      </x:c>
      <x:c r="B13" s="16" t="n">
        <x:v>0</x:v>
      </x:c>
      <x:c r="C13" s="28" t="str">
        <x:v>Auto, health, renters, other</x:v>
      </x:c>
    </x:row>
    <x:row r="14">
      <x:c r="A14" t="str">
        <x:v>Groceries</x:v>
      </x:c>
      <x:c r="B14" s="16" t="n">
        <x:v>0</x:v>
      </x:c>
      <x:c r="C14" s="28" t="str">
        <x:v>Food prepared at home</x:v>
      </x:c>
    </x:row>
    <x:row r="15">
      <x:c r="A15" t="str">
        <x:v>Other essentials</x:v>
      </x:c>
      <x:c r="B15" s="16" t="n">
        <x:v>0</x:v>
      </x:c>
      <x:c r="C15" s="28" t="str">
        <x:v>Required basics</x:v>
      </x:c>
    </x:row>
    <x:row r="16">
      <x:c r="A16" t="str">
        <x:v>Debt minimums</x:v>
      </x:c>
      <x:c r="B16" s="16" t="n">
        <x:v>0</x:v>
      </x:c>
      <x:c r="C16" s="28" t="str">
        <x:v>Required minimum payments</x:v>
      </x:c>
    </x:row>
    <x:row r="17">
      <x:c r="A17" t="str">
        <x:v>Discretionary spending</x:v>
      </x:c>
      <x:c r="B17" s="16" t="n">
        <x:v>0</x:v>
      </x:c>
      <x:c r="C17" s="28" t="str">
        <x:v>Eating out, entertainment, extras</x:v>
      </x:c>
    </x:row>
    <x:row r="18">
      <x:c r="A18" t="str">
        <x:v>Other outflow</x:v>
      </x:c>
      <x:c r="B18" s="16" t="n">
        <x:v>0</x:v>
      </x:c>
      <x:c r="C18" s="28" t="str">
        <x:v>Anything not captured above</x:v>
      </x:c>
    </x:row>
    <x:row r="19">
      <x:c r="A19" s="20" t="str">
        <x:v>Total monthly outflow</x:v>
      </x:c>
      <x:c r="B19" s="21" t="n">
        <x:f>SUM(B10:B18)</x:f>
        <x:v>0</x:v>
      </x:c>
      <x:c r="C19" s="28" t="str">
        <x:v>Calculated</x:v>
      </x:c>
    </x:row>
    <x:row r="20">
      <x:c r="C20" s="28"/>
    </x:row>
    <x:row r="21" ht="20" customHeight="1">
      <x:c r="A21" s="10" t="str">
        <x:v>YOUR CURRENT NUMBER</x:v>
      </x:c>
      <x:c r="C21" s="28"/>
    </x:row>
    <x:row r="22">
      <x:c r="A22" s="20" t="str">
        <x:v>Total income</x:v>
      </x:c>
      <x:c r="B22" s="21" t="n">
        <x:f>B6</x:f>
        <x:v>0</x:v>
      </x:c>
      <x:c r="C22" s="28" t="str">
        <x:v>Calculated from take-home income</x:v>
      </x:c>
    </x:row>
    <x:row r="23">
      <x:c r="A23" s="20" t="str">
        <x:v>Total fixed / essential outflow</x:v>
      </x:c>
      <x:c r="B23" s="21" t="n">
        <x:f>SUM(B10:B15)</x:f>
        <x:v>0</x:v>
      </x:c>
      <x:c r="C23" s="28" t="str">
        <x:v>Housing through other essentials</x:v>
      </x:c>
    </x:row>
    <x:row r="24">
      <x:c r="A24" s="20" t="str">
        <x:v>Total debt minimums</x:v>
      </x:c>
      <x:c r="B24" s="21" t="n">
        <x:f>B16</x:f>
        <x:v>0</x:v>
      </x:c>
      <x:c r="C24" s="28" t="str">
        <x:v>Required debt payments</x:v>
      </x:c>
    </x:row>
    <x:row r="25">
      <x:c r="A25" s="20" t="str">
        <x:v>Total discretionary / other</x:v>
      </x:c>
      <x:c r="B25" s="21" t="n">
        <x:f>SUM(B17:B18)</x:f>
        <x:v>0</x:v>
      </x:c>
      <x:c r="C25" s="28" t="str">
        <x:v>Flexible and uncategorized outflow</x:v>
      </x:c>
    </x:row>
    <x:row r="26">
      <x:c r="A26" s="20" t="str">
        <x:v>Total monthly outflow</x:v>
      </x:c>
      <x:c r="B26" s="21" t="n">
        <x:f>B19</x:f>
        <x:v>0</x:v>
      </x:c>
      <x:c r="C26" s="28" t="str">
        <x:v>All monthly outflow</x:v>
      </x:c>
    </x:row>
    <x:row r="27">
      <x:c r="A27" s="24" t="str">
        <x:v>Current monthly surplus / deficit</x:v>
      </x:c>
      <x:c r="B27" s="25" t="n">
        <x:f>B22-B26</x:f>
        <x:v>0</x:v>
      </x:c>
      <x:c r="C27" s="28" t="str">
        <x:v>Income minus total outflow</x:v>
      </x:c>
    </x:row>
    <x:row r="29" ht="28" customHeight="1">
      <x:c r="A29" s="27" t="str">
        <x:v>Use this as a snapshot, not a judgment. A negative number gives you a clear problem to solve.</x:v>
      </x:c>
    </x:row>
  </x:sheetData>
  <x:mergeCells>
    <x:mergeCell ref="A1:C1"/>
    <x:mergeCell ref="A2:C2"/>
    <x:mergeCell ref="A4:C4"/>
    <x:mergeCell ref="A8:C8"/>
    <x:mergeCell ref="A21:C21"/>
    <x:mergeCell ref="A29:C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38" hidden="0" customWidth="1"/>
  </x:cols>
  <x:sheetData>
    <x:row r="1" ht="32" customHeight="1">
      <x:c r="A1" s="4" t="str">
        <x:v>Monthly Plan</x:v>
      </x:c>
    </x:row>
    <x:row r="2" ht="22" customHeight="1">
      <x:c r="A2" s="7" t="str">
        <x:v>Assign every dollar a job. Zero-based means no income is left unassigned; it does not mean spend it all.</x:v>
      </x:c>
    </x:row>
    <x:row r="4" ht="20" customHeight="1">
      <x:c r="A4" s="10" t="str">
        <x:v>PLAN THE MONTH</x:v>
      </x:c>
    </x:row>
    <x:row r="5">
      <x:c r="A5" s="13" t="str">
        <x:v>Category</x:v>
      </x:c>
      <x:c r="B5" s="13" t="str">
        <x:v>Planned amount</x:v>
      </x:c>
      <x:c r="C5" s="13" t="str">
        <x:v>Purpose</x:v>
      </x:c>
    </x:row>
    <x:row r="6">
      <x:c r="A6" t="str">
        <x:v>Income</x:v>
      </x:c>
      <x:c r="B6" s="16" t="n">
        <x:v>0</x:v>
      </x:c>
      <x:c r="C6" t="str">
        <x:v>Enter expected take-home income</x:v>
      </x:c>
    </x:row>
    <x:row r="7">
      <x:c r="A7" t="str">
        <x:v>Bills / essentials</x:v>
      </x:c>
      <x:c r="B7" s="16" t="n">
        <x:v>0</x:v>
      </x:c>
      <x:c r="C7" t="str">
        <x:v>Housing, utilities, food, transport, insurance</x:v>
      </x:c>
    </x:row>
    <x:row r="8">
      <x:c r="A8" t="str">
        <x:v>Debt payoff</x:v>
      </x:c>
      <x:c r="B8" s="16" t="n">
        <x:v>0</x:v>
      </x:c>
      <x:c r="C8" t="str">
        <x:v>Minimums plus any extra payoff</x:v>
      </x:c>
    </x:row>
    <x:row r="9">
      <x:c r="A9" t="str">
        <x:v>Emergency buffer / savings</x:v>
      </x:c>
      <x:c r="B9" s="16" t="n">
        <x:v>0</x:v>
      </x:c>
      <x:c r="C9" t="str">
        <x:v>Cash protection and planned savings</x:v>
      </x:c>
    </x:row>
    <x:row r="10">
      <x:c r="A10" t="str">
        <x:v>Investing</x:v>
      </x:c>
      <x:c r="B10" s="16" t="n">
        <x:v>0</x:v>
      </x:c>
      <x:c r="C10" t="str">
        <x:v>Only after your basic plan is covered</x:v>
      </x:c>
    </x:row>
    <x:row r="11">
      <x:c r="A11" t="str">
        <x:v>Skill / business reinvestment</x:v>
      </x:c>
      <x:c r="B11" s="16" t="n">
        <x:v>0</x:v>
      </x:c>
      <x:c r="C11" t="str">
        <x:v>Tools, training, marketing, inventory</x:v>
      </x:c>
    </x:row>
    <x:row r="12">
      <x:c r="A12" t="str">
        <x:v>Discretionary</x:v>
      </x:c>
      <x:c r="B12" s="16" t="n">
        <x:v>0</x:v>
      </x:c>
      <x:c r="C12" t="str">
        <x:v>Planned personal spending</x:v>
      </x:c>
    </x:row>
    <x:row r="13">
      <x:c r="A13" t="str">
        <x:v>Other</x:v>
      </x:c>
      <x:c r="B13" s="16" t="n">
        <x:v>0</x:v>
      </x:c>
      <x:c r="C13" t="str">
        <x:v>Any category not captured above</x:v>
      </x:c>
    </x:row>
    <x:row r="15">
      <x:c r="A15" s="20" t="str">
        <x:v>Total planned allocation</x:v>
      </x:c>
      <x:c r="B15" s="21" t="n">
        <x:f>SUM(B7:B13)</x:f>
        <x:v>0</x:v>
      </x:c>
      <x:c r="C15" t="str">
        <x:v>All planned categories except income</x:v>
      </x:c>
    </x:row>
    <x:row r="16">
      <x:c r="A16" s="20" t="str">
        <x:v>Unassigned amount</x:v>
      </x:c>
      <x:c r="B16" s="21" t="n">
        <x:f>B6-B15</x:f>
        <x:v>0</x:v>
      </x:c>
      <x:c r="C16" t="str">
        <x:v>Income minus planned allocation</x:v>
      </x:c>
    </x:row>
    <x:row r="17">
      <x:c r="A17" s="24" t="str">
        <x:v>Plan check</x:v>
      </x:c>
      <x:c r="B17" s="24" t="str">
        <x:f>IF(B16=0,"Balanced","Needs assignment")</x:f>
        <x:v>Balanced</x:v>
      </x:c>
      <x:c r="C17" t="str">
        <x:v>Target: $0 unassigned</x:v>
      </x:c>
    </x:row>
    <x:row r="19" ht="28" customHeight="1">
      <x:c r="A19" s="27" t="str">
        <x:v>Zero-based planning means every dollar is intentionally assigned: bills, savings, payoff, reinvestment, or a planned life expense.</x:v>
      </x:c>
    </x:row>
  </x:sheetData>
  <x:mergeCells>
    <x:mergeCell ref="A1:C1"/>
    <x:mergeCell ref="A2:C2"/>
    <x:mergeCell ref="A4:C4"/>
    <x:mergeCell ref="A19:C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38" hidden="0" customWidth="1"/>
  </x:cols>
  <x:sheetData>
    <x:row r="1" ht="32" customHeight="1">
      <x:c r="A1" s="4" t="str">
        <x:v>Buffer Target</x:v>
      </x:c>
    </x:row>
    <x:row r="2" ht="22" customHeight="1">
      <x:c r="A2" s="7" t="str">
        <x:v>Build cash between you and the next surprise. Edit the cream cells.</x:v>
      </x:c>
    </x:row>
    <x:row r="4" ht="20" customHeight="1">
      <x:c r="A4" s="10" t="str">
        <x:v>BUFFER PLAN</x:v>
      </x:c>
    </x:row>
    <x:row r="5">
      <x:c r="A5" s="13" t="str">
        <x:v>Input</x:v>
      </x:c>
      <x:c r="B5" s="13" t="str">
        <x:v>Amount</x:v>
      </x:c>
      <x:c r="C5" s="13" t="str">
        <x:v>Guidance</x:v>
      </x:c>
    </x:row>
    <x:row r="6">
      <x:c r="A6" t="str">
        <x:v>Target emergency / buffer amount</x:v>
      </x:c>
      <x:c r="B6" s="16" t="n">
        <x:v>1000</x:v>
      </x:c>
      <x:c r="C6" t="str">
        <x:v>Start with a practical first target</x:v>
      </x:c>
    </x:row>
    <x:row r="7">
      <x:c r="A7" t="str">
        <x:v>Current buffer</x:v>
      </x:c>
      <x:c r="B7" s="16" t="n">
        <x:v>0</x:v>
      </x:c>
      <x:c r="C7" t="str">
        <x:v>Cash you can use for an actual emergency</x:v>
      </x:c>
    </x:row>
    <x:row r="8">
      <x:c r="A8" t="str">
        <x:v>Monthly contribution</x:v>
      </x:c>
      <x:c r="B8" s="16" t="n">
        <x:v>0</x:v>
      </x:c>
      <x:c r="C8" t="str">
        <x:v>What you can consistently add</x:v>
      </x:c>
    </x:row>
    <x:row r="10">
      <x:c r="A10" s="20" t="str">
        <x:v>Remaining amount</x:v>
      </x:c>
      <x:c r="B10" s="21" t="n">
        <x:f>MAX(0,B6-B7)</x:f>
        <x:v>1000</x:v>
      </x:c>
      <x:c r="C10" t="str">
        <x:v>Target minus current buffer</x:v>
      </x:c>
    </x:row>
    <x:row r="11">
      <x:c r="A11" s="20" t="str">
        <x:v>Estimated months to target</x:v>
      </x:c>
      <x:c r="B11" s="20" t="str">
        <x:f>IF(B8&lt;=0,"Add a monthly contribution",ROUNDUP(B10/B8,0))</x:f>
        <x:v>Add a monthly contribution</x:v>
      </x:c>
      <x:c r="C11" t="str">
        <x:v>Safe when monthly contribution is zero</x:v>
      </x:c>
    </x:row>
    <x:row r="12">
      <x:c r="A12" s="20" t="str">
        <x:v>Progress toward target</x:v>
      </x:c>
      <x:c r="B12" s="32" t="n">
        <x:f>IF(B6&lt;=0,0,MIN(1,B7/B6))</x:f>
        <x:v>0</x:v>
      </x:c>
      <x:c r="C12" t="str">
        <x:v>Current buffer divided by target</x:v>
      </x:c>
    </x:row>
    <x:row r="14">
      <x:c r="A14" s="27" t="str">
        <x:v>The first goal is a buffer you can actually build. Increase the target after the system is stable.</x:v>
      </x:c>
    </x:row>
  </x:sheetData>
  <x:mergeCells>
    <x:mergeCell ref="A1:C1"/>
    <x:mergeCell ref="A2:C2"/>
    <x:mergeCell ref="A4:C4"/>
    <x:mergeCell ref="A14:C14"/>
  </x:mergeCells>
  <x:pageMargins left="0.7" right="0.7" top="0.75" bottom="0.75" header="0.3" footer="0.3"/>
</x:worksheet>
</file>